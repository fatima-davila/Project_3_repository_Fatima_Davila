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e0965453bbd143bf/CIVI 202/"/>
    </mc:Choice>
  </mc:AlternateContent>
  <xr:revisionPtr revIDLastSave="0" documentId="8_{0ED2774C-78A1-4E4C-BF7B-0B8404C596DE}"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1" i="11" s="1"/>
  <c r="F21" i="11" l="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H28" i="11" l="1"/>
  <c r="F29" i="1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<sst xmlns="http://schemas.openxmlformats.org/spreadsheetml/2006/main" count="68" uniqueCount="57">
  <si>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</si>
  <si>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</si>
  <si>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</si>
  <si>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</si>
  <si>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</si>
  <si>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</si>
  <si>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</si>
  <si>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</si>
  <si>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</si>
  <si>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</si>
  <si>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</si>
  <si>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</si>
  <si>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</si>
  <si>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Kaycie Lane</t>
  </si>
  <si>
    <t>Wissam Kontar</t>
  </si>
  <si>
    <t>Jason Hawkins</t>
  </si>
  <si>
    <t>Draft functions in Python</t>
  </si>
  <si>
    <t>Problem #1</t>
  </si>
  <si>
    <t>Problem #2</t>
  </si>
  <si>
    <t>Problem #3</t>
  </si>
  <si>
    <t>Execution</t>
  </si>
  <si>
    <t>Execute tasks</t>
  </si>
  <si>
    <t>Gokce Aslan</t>
  </si>
  <si>
    <t>Monitor progress</t>
  </si>
  <si>
    <t>Hayden Cook</t>
  </si>
  <si>
    <t>Manage resources</t>
  </si>
  <si>
    <t>Jens Martensson</t>
  </si>
  <si>
    <t>Provide updates</t>
  </si>
  <si>
    <t>Nuria Acevedo</t>
  </si>
  <si>
    <t>Testing and validation</t>
  </si>
  <si>
    <t>Olivia Wilson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</si>
  <si>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</si>
  <si>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</si>
  <si>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</si>
  <si>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</si>
  <si>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</si>
  <si>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</si>
  <si>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</si>
  <si>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</si>
  <si>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</si>
  <si>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</si>
  <si>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</si>
  <si>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</si>
  <si>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</si>
  <si>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</si>
  <si>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</si>
  <si>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</si>
  <si>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</si>
  <si>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</si>
  <si>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</si>
  <si>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#3</t>
  </si>
  <si>
    <t>Fatima Davila</t>
  </si>
  <si>
    <t>Problem #2 -create annotated code document</t>
  </si>
  <si>
    <t>Problem #3 - write scope of work and report</t>
  </si>
  <si>
    <t>Problem #1 - create bar char, histogram chart, boxplot, and time-series plot</t>
  </si>
  <si>
    <t>Problem #4 - make time sheet</t>
  </si>
  <si>
    <t>Problem #5-  double check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</si>
</sst>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31" fillId="0" borderId="0" xfId="5"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19" fillId="3" borderId="6" xfId="12"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14</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14</xdr:row>
      <xdr:rowOff>226786</xdr:rowOff>
    </xdr:from>
    <xdr:to>
      <xdr:col>17</xdr:col>
      <xdr:colOff>18143</xdr:colOff>
      <xdr:row>14</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14</xdr:row>
      <xdr:rowOff>116114</xdr:rowOff>
    </xdr:from>
    <xdr:to>
      <xdr:col>17</xdr:col>
      <xdr:colOff>134257</xdr:colOff>
      <xdr:row>14</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5" zoomScale="80" zoomScaleNormal="80" zoomScalePageLayoutView="70" workbookViewId="0">
      <selection activeCell="E16" sqref="E16"/>
    </sheetView>
  </sheetViews>
  <sheetFormatPr defaultColWidth="8.59765625" defaultRowHeight="30" customHeight="1" x14ac:dyDescent="0.25"/>
  <cols>
    <col min="1" max="1" width="2.59765625" style="13" customWidth="1"/>
    <col min="2" max="2" width="45.3984375" customWidth="1"/>
    <col min="3" max="3" width="16.59765625" customWidth="1"/>
    <col min="4" max="4" width="10.59765625" customWidth="1"/>
    <col min="5" max="5" width="10.59765625" style="2" customWidth="1"/>
    <col min="6" max="6" width="10.59765625" customWidth="1"/>
    <col min="7" max="7" width="2.59765625" customWidth="1"/>
    <col min="8" max="8" width="6" hidden="1" customWidth="1"/>
    <col min="9" max="65" width="2.59765625" customWidth="1"/>
  </cols>
  <sheetData>
    <row r="1" spans="1:64" ht="90" customHeight="1" x14ac:dyDescent="0.9">
      <c r="A1" s="14"/>
      <c r="B1" s="103" t="s">
        <v>50</v>
      </c>
      <c r="C1" s="18"/>
      <c r="D1" s="19"/>
      <c r="E1" s="20"/>
      <c r="F1" s="21"/>
      <c r="H1" s="1"/>
      <c r="I1" s="112" t="s">
        <v>0</v>
      </c>
      <c r="J1" s="113"/>
      <c r="K1" s="113"/>
      <c r="L1" s="113"/>
      <c r="M1" s="113"/>
      <c r="N1" s="113"/>
      <c r="O1" s="113"/>
      <c r="P1" s="24"/>
      <c r="Q1" s="111">
        <f ca="1">TODAY()</f>
        <v>46112</v>
      </c>
      <c r="R1" s="110"/>
      <c r="S1" s="110"/>
      <c r="T1" s="110"/>
      <c r="U1" s="110"/>
      <c r="V1" s="110"/>
      <c r="W1" s="110"/>
      <c r="X1" s="110"/>
      <c r="Y1" s="110"/>
      <c r="Z1" s="110"/>
    </row>
    <row r="2" spans="1:64" ht="30" customHeight="1" x14ac:dyDescent="0.6">
      <c r="B2" s="94" t="s">
        <v>1</v>
      </c>
      <c r="C2" s="95" t="s">
        <v>2</v>
      </c>
      <c r="D2" s="22"/>
      <c r="E2" s="23"/>
      <c r="F2" s="22"/>
      <c r="I2" s="112" t="s">
        <v>3</v>
      </c>
      <c r="J2" s="113"/>
      <c r="K2" s="113"/>
      <c r="L2" s="113"/>
      <c r="M2" s="113"/>
      <c r="N2" s="113"/>
      <c r="O2" s="113"/>
      <c r="P2" s="24"/>
      <c r="Q2" s="109">
        <v>1</v>
      </c>
      <c r="R2" s="110"/>
      <c r="S2" s="110"/>
      <c r="T2" s="110"/>
      <c r="U2" s="110"/>
      <c r="V2" s="110"/>
      <c r="W2" s="110"/>
      <c r="X2" s="110"/>
      <c r="Y2" s="110"/>
      <c r="Z2" s="110"/>
    </row>
    <row r="3" spans="1:64" s="26" customFormat="1" ht="30" customHeight="1" x14ac:dyDescent="0.25">
      <c r="A3" s="13"/>
      <c r="B3" s="25" t="s">
        <v>4</v>
      </c>
      <c r="D3" s="27"/>
      <c r="E3" s="28"/>
    </row>
    <row r="4" spans="1:64" s="26" customFormat="1" ht="30" customHeight="1" x14ac:dyDescent="0.25">
      <c r="A4" s="14"/>
      <c r="B4" s="29" t="s">
        <v>5</v>
      </c>
      <c r="E4" s="30"/>
      <c r="I4" s="106">
        <f ca="1">I5</f>
        <v>46111</v>
      </c>
      <c r="J4" s="104"/>
      <c r="K4" s="104"/>
      <c r="L4" s="104"/>
      <c r="M4" s="104"/>
      <c r="N4" s="104"/>
      <c r="O4" s="104"/>
      <c r="P4" s="104">
        <f ca="1">P5</f>
        <v>46118</v>
      </c>
      <c r="Q4" s="104"/>
      <c r="R4" s="104"/>
      <c r="S4" s="104"/>
      <c r="T4" s="104"/>
      <c r="U4" s="104"/>
      <c r="V4" s="104"/>
      <c r="W4" s="104">
        <f ca="1">W5</f>
        <v>46125</v>
      </c>
      <c r="X4" s="104"/>
      <c r="Y4" s="104"/>
      <c r="Z4" s="104"/>
      <c r="AA4" s="104"/>
      <c r="AB4" s="104"/>
      <c r="AC4" s="104"/>
      <c r="AD4" s="104">
        <f ca="1">AD5</f>
        <v>46132</v>
      </c>
      <c r="AE4" s="104"/>
      <c r="AF4" s="104"/>
      <c r="AG4" s="104"/>
      <c r="AH4" s="104"/>
      <c r="AI4" s="104"/>
      <c r="AJ4" s="104"/>
      <c r="AK4" s="104">
        <f ca="1">AK5</f>
        <v>46139</v>
      </c>
      <c r="AL4" s="104"/>
      <c r="AM4" s="104"/>
      <c r="AN4" s="104"/>
      <c r="AO4" s="104"/>
      <c r="AP4" s="104"/>
      <c r="AQ4" s="104"/>
      <c r="AR4" s="104">
        <f ca="1">AR5</f>
        <v>46146</v>
      </c>
      <c r="AS4" s="104"/>
      <c r="AT4" s="104"/>
      <c r="AU4" s="104"/>
      <c r="AV4" s="104"/>
      <c r="AW4" s="104"/>
      <c r="AX4" s="104"/>
      <c r="AY4" s="104">
        <f ca="1">AY5</f>
        <v>46153</v>
      </c>
      <c r="AZ4" s="104"/>
      <c r="BA4" s="104"/>
      <c r="BB4" s="104"/>
      <c r="BC4" s="104"/>
      <c r="BD4" s="104"/>
      <c r="BE4" s="104"/>
      <c r="BF4" s="104">
        <f ca="1">BF5</f>
        <v>46160</v>
      </c>
      <c r="BG4" s="104"/>
      <c r="BH4" s="104"/>
      <c r="BI4" s="104"/>
      <c r="BJ4" s="104"/>
      <c r="BK4" s="104"/>
      <c r="BL4" s="105"/>
    </row>
    <row r="5" spans="1:64" s="26" customFormat="1" ht="15" customHeight="1" x14ac:dyDescent="0.25">
      <c r="A5" s="114"/>
      <c r="B5" s="115" t="s">
        <v>6</v>
      </c>
      <c r="C5" s="117" t="s">
        <v>7</v>
      </c>
      <c r="D5" s="107" t="s">
        <v>8</v>
      </c>
      <c r="E5" s="107" t="s">
        <v>9</v>
      </c>
      <c r="F5" s="107" t="s">
        <v>10</v>
      </c>
      <c r="I5" s="31">
        <f ca="1">Project_Start-WEEKDAY(Project_Start,1)+2+7*(Display_Week-1)</f>
        <v>46111</v>
      </c>
      <c r="J5" s="31">
        <f ca="1">I5+1</f>
        <v>46112</v>
      </c>
      <c r="K5" s="31">
        <f t="shared" ref="K5:AX5" ca="1" si="0">J5+1</f>
        <v>46113</v>
      </c>
      <c r="L5" s="31">
        <f t="shared" ca="1" si="0"/>
        <v>46114</v>
      </c>
      <c r="M5" s="31">
        <f t="shared" ca="1" si="0"/>
        <v>46115</v>
      </c>
      <c r="N5" s="31">
        <f t="shared" ca="1" si="0"/>
        <v>46116</v>
      </c>
      <c r="O5" s="32">
        <f t="shared" ca="1" si="0"/>
        <v>46117</v>
      </c>
      <c r="P5" s="33">
        <f ca="1">O5+1</f>
        <v>46118</v>
      </c>
      <c r="Q5" s="31">
        <f ca="1">P5+1</f>
        <v>46119</v>
      </c>
      <c r="R5" s="31">
        <f t="shared" ca="1" si="0"/>
        <v>46120</v>
      </c>
      <c r="S5" s="31">
        <f t="shared" ca="1" si="0"/>
        <v>46121</v>
      </c>
      <c r="T5" s="31">
        <f t="shared" ca="1" si="0"/>
        <v>46122</v>
      </c>
      <c r="U5" s="31">
        <f t="shared" ca="1" si="0"/>
        <v>46123</v>
      </c>
      <c r="V5" s="32">
        <f t="shared" ca="1" si="0"/>
        <v>46124</v>
      </c>
      <c r="W5" s="33">
        <f ca="1">V5+1</f>
        <v>46125</v>
      </c>
      <c r="X5" s="31">
        <f ca="1">W5+1</f>
        <v>46126</v>
      </c>
      <c r="Y5" s="31">
        <f t="shared" ca="1" si="0"/>
        <v>46127</v>
      </c>
      <c r="Z5" s="31">
        <f t="shared" ca="1" si="0"/>
        <v>46128</v>
      </c>
      <c r="AA5" s="31">
        <f t="shared" ca="1" si="0"/>
        <v>46129</v>
      </c>
      <c r="AB5" s="31">
        <f t="shared" ca="1" si="0"/>
        <v>46130</v>
      </c>
      <c r="AC5" s="32">
        <f t="shared" ca="1" si="0"/>
        <v>46131</v>
      </c>
      <c r="AD5" s="33">
        <f ca="1">AC5+1</f>
        <v>46132</v>
      </c>
      <c r="AE5" s="31">
        <f ca="1">AD5+1</f>
        <v>46133</v>
      </c>
      <c r="AF5" s="31">
        <f t="shared" ca="1" si="0"/>
        <v>46134</v>
      </c>
      <c r="AG5" s="31">
        <f t="shared" ca="1" si="0"/>
        <v>46135</v>
      </c>
      <c r="AH5" s="31">
        <f t="shared" ca="1" si="0"/>
        <v>46136</v>
      </c>
      <c r="AI5" s="31">
        <f t="shared" ca="1" si="0"/>
        <v>46137</v>
      </c>
      <c r="AJ5" s="32">
        <f t="shared" ca="1" si="0"/>
        <v>46138</v>
      </c>
      <c r="AK5" s="33">
        <f ca="1">AJ5+1</f>
        <v>46139</v>
      </c>
      <c r="AL5" s="31">
        <f ca="1">AK5+1</f>
        <v>46140</v>
      </c>
      <c r="AM5" s="31">
        <f t="shared" ca="1" si="0"/>
        <v>46141</v>
      </c>
      <c r="AN5" s="31">
        <f t="shared" ca="1" si="0"/>
        <v>46142</v>
      </c>
      <c r="AO5" s="31">
        <f t="shared" ca="1" si="0"/>
        <v>46143</v>
      </c>
      <c r="AP5" s="31">
        <f t="shared" ca="1" si="0"/>
        <v>46144</v>
      </c>
      <c r="AQ5" s="32">
        <f t="shared" ca="1" si="0"/>
        <v>46145</v>
      </c>
      <c r="AR5" s="33">
        <f ca="1">AQ5+1</f>
        <v>46146</v>
      </c>
      <c r="AS5" s="31">
        <f ca="1">AR5+1</f>
        <v>46147</v>
      </c>
      <c r="AT5" s="31">
        <f t="shared" ca="1" si="0"/>
        <v>46148</v>
      </c>
      <c r="AU5" s="31">
        <f t="shared" ca="1" si="0"/>
        <v>46149</v>
      </c>
      <c r="AV5" s="31">
        <f t="shared" ca="1" si="0"/>
        <v>46150</v>
      </c>
      <c r="AW5" s="31">
        <f t="shared" ca="1" si="0"/>
        <v>46151</v>
      </c>
      <c r="AX5" s="32">
        <f t="shared" ca="1" si="0"/>
        <v>46152</v>
      </c>
      <c r="AY5" s="33">
        <f ca="1">AX5+1</f>
        <v>46153</v>
      </c>
      <c r="AZ5" s="31">
        <f ca="1">AY5+1</f>
        <v>46154</v>
      </c>
      <c r="BA5" s="31">
        <f t="shared" ref="BA5:BE5" ca="1" si="1">AZ5+1</f>
        <v>46155</v>
      </c>
      <c r="BB5" s="31">
        <f t="shared" ca="1" si="1"/>
        <v>46156</v>
      </c>
      <c r="BC5" s="31">
        <f t="shared" ca="1" si="1"/>
        <v>46157</v>
      </c>
      <c r="BD5" s="31">
        <f t="shared" ca="1" si="1"/>
        <v>46158</v>
      </c>
      <c r="BE5" s="32">
        <f t="shared" ca="1" si="1"/>
        <v>46159</v>
      </c>
      <c r="BF5" s="33">
        <f ca="1">BE5+1</f>
        <v>46160</v>
      </c>
      <c r="BG5" s="31">
        <f ca="1">BF5+1</f>
        <v>46161</v>
      </c>
      <c r="BH5" s="31">
        <f t="shared" ref="BH5:BL5" ca="1" si="2">BG5+1</f>
        <v>46162</v>
      </c>
      <c r="BI5" s="31">
        <f t="shared" ca="1" si="2"/>
        <v>46163</v>
      </c>
      <c r="BJ5" s="31">
        <f t="shared" ca="1" si="2"/>
        <v>46164</v>
      </c>
      <c r="BK5" s="31">
        <f t="shared" ca="1" si="2"/>
        <v>46165</v>
      </c>
      <c r="BL5" s="31">
        <f t="shared" ca="1" si="2"/>
        <v>46166</v>
      </c>
    </row>
    <row r="6" spans="1:64" s="26" customFormat="1" ht="15" customHeight="1" thickBot="1" x14ac:dyDescent="0.3">
      <c r="A6" s="114"/>
      <c r="B6" s="116"/>
      <c r="C6" s="108"/>
      <c r="D6" s="108"/>
      <c r="E6" s="108"/>
      <c r="F6" s="108"/>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11</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12</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79.8" customHeight="1" thickBot="1" x14ac:dyDescent="0.3">
      <c r="A9" s="14"/>
      <c r="B9" s="118" t="s">
        <v>54</v>
      </c>
      <c r="C9" s="47" t="s">
        <v>51</v>
      </c>
      <c r="D9" s="48">
        <v>0.6</v>
      </c>
      <c r="E9" s="49">
        <f ca="1">Project_Start</f>
        <v>46112</v>
      </c>
      <c r="F9" s="49">
        <f ca="1">E9+3</f>
        <v>46115</v>
      </c>
      <c r="G9" s="17"/>
      <c r="H9" s="5">
        <f t="shared" ca="1"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x14ac:dyDescent="0.3">
      <c r="A10" s="14"/>
      <c r="B10" s="51" t="s">
        <v>52</v>
      </c>
      <c r="C10" s="47" t="s">
        <v>51</v>
      </c>
      <c r="D10" s="52">
        <v>0</v>
      </c>
      <c r="E10" s="53">
        <f ca="1">F9</f>
        <v>46115</v>
      </c>
      <c r="F10" s="53">
        <f ca="1">E10+2</f>
        <v>46117</v>
      </c>
      <c r="G10" s="17"/>
      <c r="H10" s="5">
        <f t="shared" ca="1" si="5"/>
        <v>3</v>
      </c>
      <c r="I10" s="50"/>
      <c r="J10" s="50"/>
      <c r="K10" s="50"/>
      <c r="L10" s="50"/>
      <c r="M10" s="50"/>
      <c r="N10" s="50"/>
      <c r="O10" s="50"/>
      <c r="P10" s="50"/>
      <c r="Q10" s="50"/>
      <c r="R10" s="50"/>
      <c r="S10" s="50"/>
      <c r="T10" s="50"/>
      <c r="U10" s="54"/>
      <c r="V10" s="54"/>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6" customFormat="1" ht="30" customHeight="1" thickBot="1" x14ac:dyDescent="0.3">
      <c r="A11" s="13"/>
      <c r="B11" s="51" t="s">
        <v>53</v>
      </c>
      <c r="C11" s="47" t="s">
        <v>51</v>
      </c>
      <c r="D11" s="52">
        <v>0.5</v>
      </c>
      <c r="E11" s="53">
        <f ca="1">F10</f>
        <v>46117</v>
      </c>
      <c r="F11" s="53">
        <f ca="1">E11+4</f>
        <v>46121</v>
      </c>
      <c r="G11" s="17"/>
      <c r="H11" s="5">
        <f t="shared" ca="1"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thickBot="1" x14ac:dyDescent="0.3">
      <c r="A12" s="13"/>
      <c r="B12" s="51" t="s">
        <v>55</v>
      </c>
      <c r="C12" s="47" t="s">
        <v>51</v>
      </c>
      <c r="D12" s="52">
        <v>0</v>
      </c>
      <c r="E12" s="53">
        <f ca="1">F11</f>
        <v>46121</v>
      </c>
      <c r="F12" s="53">
        <f ca="1">E12+5</f>
        <v>46126</v>
      </c>
      <c r="G12" s="17"/>
      <c r="H12" s="5">
        <f t="shared" ca="1" si="5"/>
        <v>6</v>
      </c>
      <c r="I12" s="50"/>
      <c r="J12" s="50"/>
      <c r="K12" s="50"/>
      <c r="L12" s="50"/>
      <c r="M12" s="50"/>
      <c r="N12" s="50"/>
      <c r="O12" s="50"/>
      <c r="P12" s="50"/>
      <c r="Q12" s="50"/>
      <c r="R12" s="50"/>
      <c r="S12" s="50"/>
      <c r="T12" s="50"/>
      <c r="U12" s="50"/>
      <c r="V12" s="50"/>
      <c r="W12" s="50"/>
      <c r="X12" s="50"/>
      <c r="Y12" s="54"/>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6" customFormat="1" ht="30" customHeight="1" thickBot="1" x14ac:dyDescent="0.3">
      <c r="A13" s="13"/>
      <c r="B13" s="51" t="s">
        <v>56</v>
      </c>
      <c r="C13" s="47" t="s">
        <v>51</v>
      </c>
      <c r="D13" s="52"/>
      <c r="E13" s="53">
        <f ca="1">E10+1</f>
        <v>46116</v>
      </c>
      <c r="F13" s="53">
        <f ca="1">E13+2</f>
        <v>46118</v>
      </c>
      <c r="G13" s="17"/>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6" customFormat="1" ht="30" customHeight="1" thickBot="1" x14ac:dyDescent="0.3">
      <c r="A14" s="14"/>
      <c r="B14" s="55" t="s">
        <v>16</v>
      </c>
      <c r="C14" s="56"/>
      <c r="D14" s="57"/>
      <c r="E14" s="58"/>
      <c r="F14" s="59"/>
      <c r="G14" s="17"/>
      <c r="H14" s="5" t="str">
        <f t="shared" si="5"/>
        <v/>
      </c>
    </row>
    <row r="15" spans="1:64" s="46" customFormat="1" ht="30" customHeight="1" thickBot="1" x14ac:dyDescent="0.3">
      <c r="A15" s="14"/>
      <c r="B15" s="60" t="s">
        <v>17</v>
      </c>
      <c r="C15" s="61" t="s">
        <v>13</v>
      </c>
      <c r="D15" s="62">
        <v>0.5</v>
      </c>
      <c r="E15" s="63">
        <f ca="1">E13+1</f>
        <v>46117</v>
      </c>
      <c r="F15" s="63">
        <f ca="1">E15+4</f>
        <v>46121</v>
      </c>
      <c r="G15" s="17"/>
      <c r="H15" s="5">
        <f t="shared" ca="1"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6" customFormat="1" ht="30" customHeight="1" thickBot="1" x14ac:dyDescent="0.3">
      <c r="A16" s="13"/>
      <c r="B16" s="60" t="s">
        <v>18</v>
      </c>
      <c r="C16" s="61" t="s">
        <v>14</v>
      </c>
      <c r="D16" s="62">
        <v>0.5</v>
      </c>
      <c r="E16" s="63">
        <f ca="1">E15+2</f>
        <v>46119</v>
      </c>
      <c r="F16" s="63">
        <f ca="1">E16+5</f>
        <v>46124</v>
      </c>
      <c r="G16" s="17"/>
      <c r="H16" s="5">
        <f t="shared" ca="1" si="5"/>
        <v>6</v>
      </c>
      <c r="I16" s="50"/>
      <c r="J16" s="50"/>
      <c r="K16" s="50"/>
      <c r="L16" s="50"/>
      <c r="M16" s="50"/>
      <c r="N16" s="50"/>
      <c r="O16" s="50"/>
      <c r="P16" s="50"/>
      <c r="Q16" s="50"/>
      <c r="R16" s="50"/>
      <c r="S16" s="50"/>
      <c r="T16" s="50"/>
      <c r="U16" s="54"/>
      <c r="V16" s="54"/>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thickBot="1" x14ac:dyDescent="0.3">
      <c r="A17" s="13"/>
      <c r="B17" s="60" t="s">
        <v>19</v>
      </c>
      <c r="C17" s="61" t="s">
        <v>15</v>
      </c>
      <c r="D17" s="62"/>
      <c r="E17" s="63">
        <f ca="1">F16</f>
        <v>46124</v>
      </c>
      <c r="F17" s="63">
        <f ca="1">E17+3</f>
        <v>46127</v>
      </c>
      <c r="G17" s="17"/>
      <c r="H17" s="5">
        <f t="shared" ca="1" si="5"/>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thickBot="1" x14ac:dyDescent="0.3">
      <c r="A18" s="13"/>
      <c r="B18" s="60"/>
      <c r="C18" s="61"/>
      <c r="D18" s="62"/>
      <c r="E18" s="63">
        <f ca="1">E17</f>
        <v>46124</v>
      </c>
      <c r="F18" s="63">
        <f ca="1">E18+2</f>
        <v>46126</v>
      </c>
      <c r="G18" s="17"/>
      <c r="H18" s="5">
        <f t="shared" ca="1" si="5"/>
        <v>3</v>
      </c>
      <c r="I18" s="50"/>
      <c r="J18" s="50"/>
      <c r="K18" s="50"/>
      <c r="L18" s="50"/>
      <c r="M18" s="50"/>
      <c r="N18" s="50"/>
      <c r="O18" s="50"/>
      <c r="P18" s="50"/>
      <c r="Q18" s="50"/>
      <c r="R18" s="50"/>
      <c r="S18" s="50"/>
      <c r="T18" s="50"/>
      <c r="U18" s="50"/>
      <c r="V18" s="50"/>
      <c r="W18" s="50"/>
      <c r="X18" s="50"/>
      <c r="Y18" s="54"/>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6" customFormat="1" ht="30" customHeight="1" thickBot="1" x14ac:dyDescent="0.3">
      <c r="A19" s="13"/>
      <c r="B19" s="60"/>
      <c r="C19" s="61"/>
      <c r="D19" s="62"/>
      <c r="E19" s="63">
        <f ca="1">E18</f>
        <v>46124</v>
      </c>
      <c r="F19" s="63">
        <f ca="1">E19+3</f>
        <v>46127</v>
      </c>
      <c r="G19" s="17"/>
      <c r="H19" s="5">
        <f t="shared" ca="1"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thickBot="1" x14ac:dyDescent="0.3">
      <c r="A20" s="13"/>
      <c r="B20" s="64" t="s">
        <v>20</v>
      </c>
      <c r="C20" s="65"/>
      <c r="D20" s="66"/>
      <c r="E20" s="67"/>
      <c r="F20" s="68"/>
      <c r="G20" s="17"/>
      <c r="H20" s="5" t="str">
        <f t="shared" si="5"/>
        <v/>
      </c>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row>
    <row r="21" spans="1:64" s="46" customFormat="1" ht="30" customHeight="1" thickBot="1" x14ac:dyDescent="0.3">
      <c r="A21" s="13"/>
      <c r="B21" s="70" t="s">
        <v>21</v>
      </c>
      <c r="C21" s="71" t="s">
        <v>22</v>
      </c>
      <c r="D21" s="72">
        <v>0.5</v>
      </c>
      <c r="E21" s="73">
        <f ca="1">E9+15</f>
        <v>46127</v>
      </c>
      <c r="F21" s="73">
        <f ca="1">E21+5</f>
        <v>46132</v>
      </c>
      <c r="G21" s="17"/>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6" customFormat="1" ht="30" customHeight="1" thickBot="1" x14ac:dyDescent="0.3">
      <c r="A22" s="13"/>
      <c r="B22" s="70" t="s">
        <v>23</v>
      </c>
      <c r="C22" s="71" t="s">
        <v>24</v>
      </c>
      <c r="D22" s="72">
        <v>0.6</v>
      </c>
      <c r="E22" s="73">
        <f ca="1">F21+1</f>
        <v>46133</v>
      </c>
      <c r="F22" s="73">
        <f ca="1">E22+4</f>
        <v>46137</v>
      </c>
      <c r="G22" s="17"/>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6" customFormat="1" ht="30" customHeight="1" thickBot="1" x14ac:dyDescent="0.3">
      <c r="A23" s="13"/>
      <c r="B23" s="70" t="s">
        <v>25</v>
      </c>
      <c r="C23" s="71" t="s">
        <v>26</v>
      </c>
      <c r="D23" s="72">
        <v>0.5</v>
      </c>
      <c r="E23" s="73">
        <f ca="1">E22+5</f>
        <v>46138</v>
      </c>
      <c r="F23" s="73">
        <f ca="1">E23+5</f>
        <v>46143</v>
      </c>
      <c r="G23" s="17"/>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6" customFormat="1" ht="30" customHeight="1" thickBot="1" x14ac:dyDescent="0.3">
      <c r="A24" s="13"/>
      <c r="B24" s="70" t="s">
        <v>27</v>
      </c>
      <c r="C24" s="71" t="s">
        <v>28</v>
      </c>
      <c r="D24" s="72">
        <v>0.25</v>
      </c>
      <c r="E24" s="73">
        <f ca="1">F23+1</f>
        <v>46144</v>
      </c>
      <c r="F24" s="73">
        <f ca="1">E24+4</f>
        <v>46148</v>
      </c>
      <c r="G24" s="17"/>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6" customFormat="1" ht="30" customHeight="1" thickBot="1" x14ac:dyDescent="0.3">
      <c r="A25" s="13"/>
      <c r="B25" s="70" t="s">
        <v>29</v>
      </c>
      <c r="C25" s="71" t="s">
        <v>30</v>
      </c>
      <c r="D25" s="72">
        <v>0.25</v>
      </c>
      <c r="E25" s="73">
        <f ca="1">E23</f>
        <v>46138</v>
      </c>
      <c r="F25" s="73">
        <f ca="1">E25+4</f>
        <v>46142</v>
      </c>
      <c r="G25" s="17"/>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6" customFormat="1" ht="30" customHeight="1" thickBot="1" x14ac:dyDescent="0.3">
      <c r="A26" s="13"/>
      <c r="B26" s="74" t="s">
        <v>31</v>
      </c>
      <c r="C26" s="75"/>
      <c r="D26" s="76"/>
      <c r="E26" s="77"/>
      <c r="F26" s="78"/>
      <c r="G26" s="17"/>
      <c r="H26" s="5" t="str">
        <f t="shared" si="5"/>
        <v/>
      </c>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row>
    <row r="27" spans="1:64" s="46" customFormat="1" ht="30" customHeight="1" thickBot="1" x14ac:dyDescent="0.3">
      <c r="A27" s="13"/>
      <c r="B27" s="80" t="s">
        <v>23</v>
      </c>
      <c r="C27" s="81" t="s">
        <v>22</v>
      </c>
      <c r="D27" s="82">
        <v>0.25</v>
      </c>
      <c r="E27" s="83">
        <f ca="1">E21+2</f>
        <v>46129</v>
      </c>
      <c r="F27" s="83">
        <f ca="1">E27+3</f>
        <v>46132</v>
      </c>
      <c r="G27" s="17"/>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6" customFormat="1" ht="30" customHeight="1" thickBot="1" x14ac:dyDescent="0.3">
      <c r="A28" s="13"/>
      <c r="B28" s="80" t="s">
        <v>32</v>
      </c>
      <c r="C28" s="81" t="s">
        <v>24</v>
      </c>
      <c r="D28" s="82">
        <v>0.25</v>
      </c>
      <c r="E28" s="83">
        <f ca="1">F27</f>
        <v>46132</v>
      </c>
      <c r="F28" s="83">
        <f ca="1">E28+4</f>
        <v>46136</v>
      </c>
      <c r="G28" s="17"/>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6" customFormat="1" ht="30" customHeight="1" thickBot="1" x14ac:dyDescent="0.3">
      <c r="A29" s="13"/>
      <c r="B29" s="80" t="s">
        <v>33</v>
      </c>
      <c r="C29" s="81" t="s">
        <v>26</v>
      </c>
      <c r="D29" s="82">
        <v>0.5</v>
      </c>
      <c r="E29" s="83">
        <f ca="1">F28+1</f>
        <v>46137</v>
      </c>
      <c r="F29" s="83">
        <f ca="1">E29+3</f>
        <v>46140</v>
      </c>
      <c r="G29" s="17"/>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6" customFormat="1" ht="30" customHeight="1" thickBot="1" x14ac:dyDescent="0.3">
      <c r="A30" s="13"/>
      <c r="B30" s="80" t="s">
        <v>34</v>
      </c>
      <c r="C30" s="81" t="s">
        <v>28</v>
      </c>
      <c r="D30" s="82">
        <v>0.6</v>
      </c>
      <c r="E30" s="83">
        <f ca="1">E27+5</f>
        <v>46134</v>
      </c>
      <c r="F30" s="83">
        <f ca="1">E30+3</f>
        <v>46137</v>
      </c>
      <c r="G30" s="17"/>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6" customFormat="1" ht="30" customHeight="1" thickBot="1" x14ac:dyDescent="0.3">
      <c r="A31" s="13"/>
      <c r="B31" s="80" t="s">
        <v>35</v>
      </c>
      <c r="C31" s="81" t="s">
        <v>30</v>
      </c>
      <c r="D31" s="82">
        <v>0.5</v>
      </c>
      <c r="E31" s="83">
        <f ca="1">E27+7</f>
        <v>46136</v>
      </c>
      <c r="F31" s="83">
        <f ca="1">E31+5</f>
        <v>46141</v>
      </c>
      <c r="G31" s="17"/>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6" customFormat="1" ht="30" customHeight="1" thickBot="1" x14ac:dyDescent="0.3">
      <c r="A32" s="13"/>
      <c r="B32" s="84"/>
      <c r="C32" s="85"/>
      <c r="D32" s="86"/>
      <c r="E32" s="87"/>
      <c r="F32" s="87"/>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88" t="s">
        <v>36</v>
      </c>
      <c r="C33" s="89"/>
      <c r="D33" s="90"/>
      <c r="E33" s="91"/>
      <c r="F33" s="92"/>
      <c r="G33" s="17"/>
      <c r="H33" s="6" t="str">
        <f t="shared" si="5"/>
        <v/>
      </c>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row>
    <row r="34" spans="1:64" ht="30" customHeight="1" x14ac:dyDescent="0.25">
      <c r="G34" s="3"/>
    </row>
    <row r="35" spans="1:64" ht="30" customHeight="1" x14ac:dyDescent="0.25">
      <c r="C35" s="16"/>
      <c r="F35" s="15"/>
    </row>
    <row r="36" spans="1:64" ht="30" customHeight="1" x14ac:dyDescent="0.2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6" t="s">
        <v>4</v>
      </c>
      <c r="B2" s="8"/>
    </row>
    <row r="3" spans="1:2" s="11" customFormat="1" ht="27" customHeight="1" x14ac:dyDescent="0.25">
      <c r="A3" s="97"/>
      <c r="B3" s="12"/>
    </row>
    <row r="4" spans="1:2" s="10" customFormat="1" ht="30" x14ac:dyDescent="0.7">
      <c r="A4" s="98" t="s">
        <v>37</v>
      </c>
    </row>
    <row r="5" spans="1:2" ht="74.25" customHeight="1" x14ac:dyDescent="0.25">
      <c r="A5" s="99" t="s">
        <v>38</v>
      </c>
    </row>
    <row r="6" spans="1:2" ht="26.25" customHeight="1" x14ac:dyDescent="0.25">
      <c r="A6" s="98" t="s">
        <v>39</v>
      </c>
    </row>
    <row r="7" spans="1:2" s="7" customFormat="1" ht="204.9" customHeight="1" x14ac:dyDescent="0.25">
      <c r="A7" s="100" t="s">
        <v>40</v>
      </c>
    </row>
    <row r="8" spans="1:2" s="10" customFormat="1" ht="30" x14ac:dyDescent="0.7">
      <c r="A8" s="98" t="s">
        <v>41</v>
      </c>
    </row>
    <row r="9" spans="1:2" ht="41.4" x14ac:dyDescent="0.25">
      <c r="A9" s="99" t="s">
        <v>42</v>
      </c>
    </row>
    <row r="10" spans="1:2" s="7" customFormat="1" ht="27.9" customHeight="1" x14ac:dyDescent="0.25">
      <c r="A10" s="101" t="s">
        <v>43</v>
      </c>
    </row>
    <row r="11" spans="1:2" s="10" customFormat="1" ht="30" x14ac:dyDescent="0.7">
      <c r="A11" s="98" t="s">
        <v>44</v>
      </c>
    </row>
    <row r="12" spans="1:2" ht="27.6" x14ac:dyDescent="0.25">
      <c r="A12" s="99" t="s">
        <v>45</v>
      </c>
    </row>
    <row r="13" spans="1:2" s="7" customFormat="1" ht="27.9" customHeight="1" x14ac:dyDescent="0.25">
      <c r="A13" s="101" t="s">
        <v>46</v>
      </c>
    </row>
    <row r="14" spans="1:2" s="10" customFormat="1" ht="30" x14ac:dyDescent="0.7">
      <c r="A14" s="98" t="s">
        <v>47</v>
      </c>
    </row>
    <row r="15" spans="1:2" ht="75" customHeight="1" x14ac:dyDescent="0.25">
      <c r="A15" s="99" t="s">
        <v>48</v>
      </c>
    </row>
    <row r="16" spans="1:2" ht="69" x14ac:dyDescent="0.25">
      <c r="A16" s="99" t="s">
        <v>49</v>
      </c>
    </row>
    <row r="17" spans="1:1" x14ac:dyDescent="0.25">
      <c r="A17" s="102"/>
    </row>
    <row r="18" spans="1:1" x14ac:dyDescent="0.25">
      <c r="A18" s="102"/>
    </row>
    <row r="19" spans="1:1" x14ac:dyDescent="0.25">
      <c r="A19" s="102"/>
    </row>
    <row r="20" spans="1:1" x14ac:dyDescent="0.25">
      <c r="A20" s="102"/>
    </row>
    <row r="21" spans="1:1" x14ac:dyDescent="0.25">
      <c r="A21" s="102"/>
    </row>
    <row r="22" spans="1:1" x14ac:dyDescent="0.25">
      <c r="A22" s="102"/>
    </row>
    <row r="23" spans="1:1" x14ac:dyDescent="0.25">
      <c r="A23" s="102"/>
    </row>
    <row r="24" spans="1:1" x14ac:dyDescent="0.25">
      <c r="A24" s="10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16c05727-aa75-4e4a-9b5f-8a80a1165891"/>
    <ds:schemaRef ds:uri="http://www.w3.org/XML/1998/namespace"/>
    <ds:schemaRef ds:uri="71af3243-3dd4-4a8d-8c0d-dd76da1f02a5"/>
    <ds:schemaRef ds:uri="http://schemas.microsoft.com/office/2006/documentManagement/types"/>
    <ds:schemaRef ds:uri="http://purl.org/dc/elements/1.1/"/>
    <ds:schemaRef ds:uri="http://schemas.microsoft.com/office/infopath/2007/PartnerControls"/>
    <ds:schemaRef ds:uri="http://schemas.microsoft.com/office/2006/metadata/properties"/>
    <ds:schemaRef ds:uri="230e9df3-be65-4c73-a93b-d1236ebd677e"/>
    <ds:schemaRef ds:uri="http://purl.org/dc/dcmitype/"/>
    <ds:schemaRef ds:uri="http://purl.org/dc/terms/"/>
    <ds:schemaRef ds:uri="http://schemas.openxmlformats.org/package/2006/metadata/core-properties"/>
    <ds:schemaRef ds:uri="http://schemas.microsoft.com/sharepoint/v3"/>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Fatima Davila</cp:lastModifiedBy>
  <cp:revision/>
  <dcterms:created xsi:type="dcterms:W3CDTF">2022-03-11T22:41:12Z</dcterms:created>
  <dcterms:modified xsi:type="dcterms:W3CDTF">2026-03-31T17:56:04Z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